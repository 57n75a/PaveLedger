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a94d0c077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584bc927054a0d"/>
    <x:sheet xmlns:r="http://schemas.openxmlformats.org/officeDocument/2006/relationships" name="Assumptions" sheetId="2" r:id="Ra28ad7781a894bd7"/>
    <x:sheet xmlns:r="http://schemas.openxmlformats.org/officeDocument/2006/relationships" name="Forecast" sheetId="3" r:id="Rcd634f7d3ffb4a02"/>
    <x:sheet xmlns:r="http://schemas.openxmlformats.org/officeDocument/2006/relationships" name="Buyer ROI" sheetId="4" r:id="R40e71bbf816d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-&quot;"/>
    <x:numFmt numFmtId="201" formatCode="0.0%"/>
    <x:numFmt numFmtId="202" formatCode="0.0"/>
    <x:numFmt numFmtId="203" formatCode="0.00"/>
  </x:numFmts>
  <x:fonts count="7">
    <x:font>
      <x:sz val="11"/>
      <x:name val="Carlito"/>
    </x:font>
    <x:font>
      <x:sz val="10"/>
      <x:color rgb="FF182437"/>
      <x:name val="Arial"/>
    </x:font>
    <x:font>
      <x:b/>
      <x:sz val="16"/>
      <x:color rgb="FF172B42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82437"/>
      <x:name val="Arial"/>
    </x:font>
    <x:font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5D9"/>
      </x:patternFill>
    </x:fill>
    <x:fill>
      <x:patternFill patternType="solid">
        <x:fgColor rgb="FF172B42"/>
      </x:patternFill>
    </x:fill>
    <x:fill>
      <x:patternFill patternType="solid">
        <x:fgColor rgb="FFEDF1F7"/>
      </x:patternFill>
    </x:fill>
  </x:fills>
  <x:borders count="2">
    <x:border/>
    <x:border>
      <x:bottom style="thin">
        <x:color rgb="FFC9203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4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51B36"/>
      </x:font>
      <x:fill>
        <x:patternFill patternType="solid">
          <x:bgColor rgb="FFFFE2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edd374a3f40dc" /><Relationship Type="http://schemas.openxmlformats.org/officeDocument/2006/relationships/theme" Target="/xl/theme/theme1.xml" Id="R4fe5a0bd30c8421d" /><Relationship Type="http://schemas.openxmlformats.org/officeDocument/2006/relationships/sharedStrings" Target="/xl/sharedStrings.xml" Id="Rad0259e88d2d448d" /><Relationship Type="http://schemas.openxmlformats.org/officeDocument/2006/relationships/worksheet" Target="/xl/worksheets/sheet1.xml" Id="Rb3584bc927054a0d" /><Relationship Type="http://schemas.openxmlformats.org/officeDocument/2006/relationships/worksheet" Target="/xl/worksheets/sheet2.xml" Id="Ra28ad7781a894bd7" /><Relationship Type="http://schemas.openxmlformats.org/officeDocument/2006/relationships/worksheet" Target="/xl/worksheets/sheet3.xml" Id="Rcd634f7d3ffb4a02" /><Relationship Type="http://schemas.openxmlformats.org/officeDocument/2006/relationships/worksheet" Target="/xl/worksheets/sheet4.xml" Id="R40e71bbf816d42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5182013e7048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Revenue and operating result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C9203D"/>
            </a:solidFill>
          </c:spPr>
          <c:cat>
            <c:strRef>
              <c:f>'Summary'!$H$7:$H$9</c:f>
              <c:strCache>
                <c:ptCount val="0"/>
              </c:strCache>
            </c:strRef>
          </c:cat>
          <c:val>
            <c:numRef>
              <c:f>'Summary'!$I$7:$I$9</c:f>
              <c:numCache>
                <c:formatCode>0.0,,"m"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spPr>
            <a:solidFill xmlns:a="http://schemas.openxmlformats.org/drawingml/2006/main">
              <a:srgbClr val="172B42"/>
            </a:solidFill>
          </c:spPr>
          <c:cat>
            <c:strRef>
              <c:f>'Summary'!$H$7:$H$9</c:f>
              <c:strCache>
                <c:ptCount val="0"/>
              </c:strCache>
            </c:strRef>
          </c:cat>
          <c:val>
            <c:numRef>
              <c:f>'Summary'!$J$7:$J$9</c:f>
              <c:numCache>
                <c:formatCode>0.0,,"m"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5182013e7048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194ffb28a24e10" /></Relationships>
</file>

<file path=xl/worksheets/sheet1.xml><?xml version="1.0" encoding="utf-8"?>
<x:worksheet xmlns:x="http://schemas.openxmlformats.org/spreadsheetml/2006/main">
  <x:sheetPr>
    <x:tabColor rgb="FF172B42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2" t="str">
        <x:v>PaveLedger business model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1"/>
      <x:c r="B4" s="1"/>
      <x:c r="C4" s="1" t="str">
        <x:v>Case selected</x:v>
      </x:c>
      <x:c r="D4" s="15" t="str">
        <x:f>CHOOSE('Assumptions'!D4,"Base","Downside")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6" customHeight="1">
      <x:c r="A6" s="1"/>
      <x:c r="B6" s="1"/>
      <x:c r="C6" s="7" t="str">
        <x:v>CAD before tax</x:v>
      </x:c>
      <x:c r="D6" s="7" t="n">
        <x:v>2027</x:v>
      </x:c>
      <x:c r="E6" s="7" t="n">
        <x:v>2028</x:v>
      </x:c>
      <x:c r="F6" s="7" t="n">
        <x:v>2029</x:v>
      </x:c>
      <x:c r="G6" s="1"/>
      <x:c r="H6" s="1" t="str">
        <x:v>Year</x:v>
      </x:c>
      <x:c r="I6" s="1" t="str">
        <x:v>Revenue</x:v>
      </x:c>
      <x:c r="J6" s="1" t="str">
        <x:v>EBITDA</x:v>
      </x:c>
      <x:c r="K6" s="1"/>
      <x:c r="L6" s="1"/>
    </x:row>
    <x:row r="7" ht="23" customHeight="1">
      <x:c r="A7" s="1"/>
      <x:c r="B7" s="1"/>
      <x:c r="C7" s="1"/>
      <x:c r="D7" s="1"/>
      <x:c r="E7" s="1"/>
      <x:c r="F7" s="1"/>
      <x:c r="G7" s="1"/>
      <x:c r="H7" s="1" t="n">
        <x:v>2027</x:v>
      </x:c>
      <x:c r="I7" s="1" t="n">
        <x:f>D9</x:f>
        <x:v>204000</x:v>
      </x:c>
      <x:c r="J7" s="1" t="n">
        <x:f>D13</x:f>
        <x:v>-540920</x:v>
      </x:c>
      <x:c r="K7" s="1"/>
      <x:c r="L7" s="1"/>
    </x:row>
    <x:row r="8" ht="23" customHeight="1">
      <x:c r="A8" s="1"/>
      <x:c r="B8" s="1"/>
      <x:c r="C8" s="1" t="str">
        <x:v>Ending subscription accounts</x:v>
      </x:c>
      <x:c r="D8" s="12" t="n">
        <x:f>'Forecast'!D11</x:f>
        <x:v>4</x:v>
      </x:c>
      <x:c r="E8" s="12" t="n">
        <x:f>'Forecast'!E11</x:f>
        <x:v>13</x:v>
      </x:c>
      <x:c r="F8" s="12" t="n">
        <x:f>'Forecast'!F11</x:f>
        <x:v>31</x:v>
      </x:c>
      <x:c r="G8" s="1"/>
      <x:c r="H8" s="1" t="n">
        <x:v>2028</x:v>
      </x:c>
      <x:c r="I8" s="1" t="n">
        <x:f>E9</x:f>
        <x:v>714000</x:v>
      </x:c>
      <x:c r="J8" s="1" t="n">
        <x:f>E13</x:f>
        <x:v>-344400</x:v>
      </x:c>
      <x:c r="K8" s="1"/>
      <x:c r="L8" s="1"/>
    </x:row>
    <x:row r="9" ht="23" customHeight="1">
      <x:c r="A9" s="1"/>
      <x:c r="B9" s="1"/>
      <x:c r="C9" s="9" t="str">
        <x:v>Recognized revenue</x:v>
      </x:c>
      <x:c r="D9" s="10" t="n">
        <x:f>'Forecast'!D20</x:f>
        <x:v>204000</x:v>
      </x:c>
      <x:c r="E9" s="10" t="n">
        <x:f>'Forecast'!E20</x:f>
        <x:v>714000</x:v>
      </x:c>
      <x:c r="F9" s="10" t="n">
        <x:f>'Forecast'!F20</x:f>
        <x:v>1788000</x:v>
      </x:c>
      <x:c r="G9" s="1"/>
      <x:c r="H9" s="1" t="n">
        <x:v>2029</x:v>
      </x:c>
      <x:c r="I9" s="1" t="n">
        <x:f>F9</x:f>
        <x:v>1788000</x:v>
      </x:c>
      <x:c r="J9" s="1" t="n">
        <x:f>F13</x:f>
        <x:v>135520</x:v>
      </x:c>
      <x:c r="K9" s="1"/>
      <x:c r="L9" s="1"/>
    </x:row>
    <x:row r="10" ht="23" customHeight="1">
      <x:c r="A10" s="1"/>
      <x:c r="B10" s="1"/>
      <x:c r="C10" s="1" t="str">
        <x:v>Gross profit</x:v>
      </x:c>
      <x:c r="D10" s="12" t="n">
        <x:f>'Forecast'!D26</x:f>
        <x:v>134080</x:v>
      </x:c>
      <x:c r="E10" s="12" t="n">
        <x:f>'Forecast'!E26</x:f>
        <x:v>495600</x:v>
      </x:c>
      <x:c r="F10" s="12" t="n">
        <x:f>'Forecast'!F26</x:f>
        <x:v>1275520</x:v>
      </x:c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 t="str">
        <x:v>Gross margin</x:v>
      </x:c>
      <x:c r="D11" s="18" t="n">
        <x:f>'Forecast'!D27</x:f>
        <x:v>0.6572549019607843</x:v>
      </x:c>
      <x:c r="E11" s="18" t="n">
        <x:f>'Forecast'!E27</x:f>
        <x:v>0.6941176470588235</x:v>
      </x:c>
      <x:c r="F11" s="18" t="n">
        <x:f>'Forecast'!F27</x:f>
        <x:v>0.7133780760626398</x:v>
      </x:c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2"/>
      <x:c r="E12" s="12"/>
      <x:c r="F12" s="12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9" t="str">
        <x:v>EBITDA</x:v>
      </x:c>
      <x:c r="D13" s="10" t="n">
        <x:f>'Forecast'!D33</x:f>
        <x:v>-540920</x:v>
      </x:c>
      <x:c r="E13" s="10" t="n">
        <x:f>'Forecast'!E33</x:f>
        <x:v>-344400</x:v>
      </x:c>
      <x:c r="F13" s="10" t="n">
        <x:f>'Forecast'!F33</x:f>
        <x:v>135520</x:v>
      </x:c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 t="str">
        <x:v>Cash flow before financing</x:v>
      </x:c>
      <x:c r="D14" s="12" t="n">
        <x:f>'Forecast'!D39</x:f>
        <x:v>-594920</x:v>
      </x:c>
      <x:c r="E14" s="12" t="n">
        <x:f>'Forecast'!E39</x:f>
        <x:v>-444400</x:v>
      </x:c>
      <x:c r="F14" s="12" t="n">
        <x:f>'Forecast'!F39</x:f>
        <x:v>-63480</x:v>
      </x:c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9" t="str">
        <x:v>Ending cash</x:v>
      </x:c>
      <x:c r="D15" s="10" t="n">
        <x:f>'Forecast'!D42</x:f>
        <x:v>755080</x:v>
      </x:c>
      <x:c r="E15" s="10" t="n">
        <x:f>'Forecast'!E42</x:f>
        <x:v>310680</x:v>
      </x:c>
      <x:c r="F15" s="10" t="n">
        <x:f>'Forecast'!F42</x:f>
        <x:v>247200</x:v>
      </x:c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2"/>
      <x:c r="E16" s="12"/>
      <x:c r="F16" s="12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9" t="str">
        <x:v>Exit annual recurring revenue</x:v>
      </x:c>
      <x:c r="D17" s="10" t="n">
        <x:f>'Forecast'!D44</x:f>
        <x:v>216000</x:v>
      </x:c>
      <x:c r="E17" s="10" t="n">
        <x:f>'Forecast'!E44</x:f>
        <x:v>780000</x:v>
      </x:c>
      <x:c r="F17" s="10" t="n">
        <x:f>'Forecast'!F44</x:f>
        <x:v>2046000</x:v>
      </x:c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 t="str">
        <x:v>Recurring breakeven accounts</x:v>
      </x:c>
      <x:c r="D18" s="12" t="n">
        <x:f>'Forecast'!D45</x:f>
        <x:v>15</x:v>
      </x:c>
      <x:c r="E18" s="12" t="n">
        <x:f>'Forecast'!E45</x:f>
        <x:v>19</x:v>
      </x:c>
      <x:c r="F18" s="12" t="n">
        <x:f>'Forecast'!F45</x:f>
        <x:v>23</x:v>
      </x:c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 t="str">
        <x:v>Three-year cash requirement</x:v>
      </x:c>
      <x:c r="D21" s="12" t="n">
        <x:f>-MIN('Forecast'!D39,'Forecast'!D39+'Forecast'!E39,SUM('Forecast'!D39:F39),0)</x:f>
        <x:v>1102800</x:v>
      </x:c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 t="str">
        <x:v>Suggested reserve at 20 percent</x:v>
      </x:c>
      <x:c r="D22" s="12" t="n">
        <x:f>D21*20%</x:f>
        <x:v>220560</x:v>
      </x:c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9" t="str">
        <x:v>Funding need including reserve</x:v>
      </x:c>
      <x:c r="D23" s="10" t="n">
        <x:f>SUM(D21:D22)</x:f>
        <x:v>1323360</x:v>
      </x:c>
      <x:c r="E23" s="9"/>
      <x:c r="F23" s="9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 t="str">
        <x:v>Interpretation</x:v>
      </x:c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4" t="str">
        <x:v>Base-case profitability arrives in 2029, but receivables continue to use cash.</x:v>
      </x:c>
      <x:c r="D27" s="14"/>
      <x:c r="E27" s="14"/>
      <x:c r="F27" s="14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4"/>
      <x:c r="D28" s="14"/>
      <x:c r="E28" s="14"/>
      <x:c r="F28" s="14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4" t="str">
        <x:v>Switch Assumptions D4 to 2 to inspect a slower-sales downside.</x:v>
      </x:c>
      <x:c r="D29" s="14"/>
      <x:c r="E29" s="14"/>
      <x:c r="F29" s="14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4"/>
      <x:c r="D30" s="14"/>
      <x:c r="E30" s="14"/>
      <x:c r="F30" s="14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4" t="str">
        <x:v>This is an operating and cash forecast, not a complete accounting model.</x:v>
      </x:c>
      <x:c r="D31" s="14"/>
      <x:c r="E31" s="14"/>
      <x:c r="F31" s="14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4"/>
      <x:c r="D32" s="14"/>
      <x:c r="E32" s="14"/>
      <x:c r="F32" s="14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C27:F28"/>
    <x:mergeCell ref="C29:F30"/>
    <x:mergeCell ref="C31:F32"/>
  </x:mergeCells>
  <x:pageMargins left="0.7" right="0.7" top="0.75" bottom="0.75" header="0.3" footer="0.3"/>
  <x:drawing xmlns:r="http://schemas.openxmlformats.org/officeDocument/2006/relationships" r:id="R7a194ffb28a24e10"/>
</x:worksheet>
</file>

<file path=xl/worksheets/sheet2.xml><?xml version="1.0" encoding="utf-8"?>
<x:worksheet xmlns:x="http://schemas.openxmlformats.org/spreadsheetml/2006/main">
  <x:sheetPr>
    <x:tabColor rgb="FFC9203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2" t="str">
        <x:v>PaveLedger operating assumptions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1"/>
      <x:c r="B4" s="1"/>
      <x:c r="C4" s="1" t="str">
        <x:v>Case selected</x:v>
      </x:c>
      <x:c r="D4" s="5" t="n">
        <x:v>1</x:v>
      </x:c>
      <x:c r="E4" s="1" t="str">
        <x:v>1 Base   2 Downside</x:v>
      </x:c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 t="str">
        <x:v>All amounts CAD before tax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6" customHeight="1">
      <x:c r="A7" s="1"/>
      <x:c r="B7" s="1"/>
      <x:c r="C7" s="7" t="str">
        <x:v>Operating driver</x:v>
      </x:c>
      <x:c r="D7" s="7" t="n">
        <x:v>2027</x:v>
      </x:c>
      <x:c r="E7" s="7" t="n">
        <x:v>2028</x:v>
      </x:c>
      <x:c r="F7" s="7" t="n">
        <x:v>2029</x:v>
      </x:c>
      <x:c r="G7" s="1"/>
      <x:c r="H7" s="1" t="str">
        <x:v>Basis and use</x:v>
      </x:c>
      <x:c r="I7" s="1"/>
      <x:c r="J7" s="1"/>
      <x:c r="K7" s="1"/>
      <x:c r="L7" s="1"/>
    </x:row>
    <x:row r="8" ht="23" customHeight="1">
      <x:c r="A8" s="1"/>
      <x:c r="B8" s="1"/>
      <x:c r="C8" s="9" t="str">
        <x:v>New subscriptions active</x:v>
      </x:c>
      <x:c r="D8" s="10" t="n">
        <x:f>CHOOSE($D$4,D9,D10)</x:f>
        <x:v>4</x:v>
      </x:c>
      <x:c r="E8" s="10" t="n">
        <x:f>CHOOSE($D$4,E9,E10)</x:f>
        <x:v>10</x:v>
      </x:c>
      <x:c r="F8" s="10" t="n">
        <x:f>CHOOSE($D$4,F9,F10)</x:f>
        <x:v>20</x:v>
      </x:c>
      <x:c r="G8" s="1"/>
      <x:c r="H8" s="14" t="str">
        <x:v>Planning assumptions, not customer contracts or vendor quotations.</x:v>
      </x:c>
      <x:c r="I8" s="14"/>
      <x:c r="J8" s="14"/>
      <x:c r="K8" s="14"/>
      <x:c r="L8" s="14"/>
    </x:row>
    <x:row r="9" ht="23" customHeight="1">
      <x:c r="A9" s="1"/>
      <x:c r="B9" s="1"/>
      <x:c r="C9" s="1" t="str">
        <x:v>Base</x:v>
      </x:c>
      <x:c r="D9" s="11" t="n">
        <x:v>4</x:v>
      </x:c>
      <x:c r="E9" s="11" t="n">
        <x:v>10</x:v>
      </x:c>
      <x:c r="F9" s="11" t="n">
        <x:v>20</x:v>
      </x:c>
      <x:c r="G9" s="1"/>
      <x:c r="H9" s="14"/>
      <x:c r="I9" s="14"/>
      <x:c r="J9" s="14"/>
      <x:c r="K9" s="14"/>
      <x:c r="L9" s="14"/>
    </x:row>
    <x:row r="10" ht="23" customHeight="1">
      <x:c r="A10" s="1"/>
      <x:c r="B10" s="1"/>
      <x:c r="C10" s="1" t="str">
        <x:v>Downside</x:v>
      </x:c>
      <x:c r="D10" s="11" t="n">
        <x:v>2</x:v>
      </x:c>
      <x:c r="E10" s="11" t="n">
        <x:v>5</x:v>
      </x:c>
      <x:c r="F10" s="11" t="n">
        <x:v>10</x:v>
      </x:c>
      <x:c r="G10" s="1"/>
      <x:c r="H10" s="14" t="str">
        <x:v>New and lost customers are assumed to occur evenly through each year.</x:v>
      </x:c>
      <x:c r="I10" s="14"/>
      <x:c r="J10" s="14"/>
      <x:c r="K10" s="14"/>
      <x:c r="L10" s="14"/>
    </x:row>
    <x:row r="11" ht="23" customHeight="1">
      <x:c r="A11" s="1"/>
      <x:c r="B11" s="1"/>
      <x:c r="C11" s="1"/>
      <x:c r="D11" s="12"/>
      <x:c r="E11" s="12"/>
      <x:c r="F11" s="12"/>
      <x:c r="G11" s="1"/>
      <x:c r="H11" s="14"/>
      <x:c r="I11" s="14"/>
      <x:c r="J11" s="14"/>
      <x:c r="K11" s="14"/>
      <x:c r="L11" s="14"/>
    </x:row>
    <x:row r="12" ht="23" customHeight="1">
      <x:c r="A12" s="1"/>
      <x:c r="B12" s="1"/>
      <x:c r="C12" s="9" t="str">
        <x:v>Monthly revenue per account active</x:v>
      </x:c>
      <x:c r="D12" s="10" t="n">
        <x:f>CHOOSE($D$4,D13,D14)</x:f>
        <x:v>4500</x:v>
      </x:c>
      <x:c r="E12" s="10" t="n">
        <x:f>CHOOSE($D$4,E13,E14)</x:f>
        <x:v>5000</x:v>
      </x:c>
      <x:c r="F12" s="10" t="n">
        <x:f>CHOOSE($D$4,F13,F14)</x:f>
        <x:v>5500</x:v>
      </x:c>
      <x:c r="G12" s="1"/>
      <x:c r="H12" s="14" t="str">
        <x:v>Every new subscription receives the credit, conservatively.</x:v>
      </x:c>
      <x:c r="I12" s="14"/>
      <x:c r="J12" s="14"/>
      <x:c r="K12" s="14"/>
      <x:c r="L12" s="14"/>
    </x:row>
    <x:row r="13" ht="23" customHeight="1">
      <x:c r="A13" s="1"/>
      <x:c r="B13" s="1"/>
      <x:c r="C13" s="1" t="str">
        <x:v>Base</x:v>
      </x:c>
      <x:c r="D13" s="11" t="n">
        <x:v>4500</x:v>
      </x:c>
      <x:c r="E13" s="11" t="n">
        <x:v>5000</x:v>
      </x:c>
      <x:c r="F13" s="11" t="n">
        <x:v>5500</x:v>
      </x:c>
      <x:c r="G13" s="1"/>
      <x:c r="H13" s="14"/>
      <x:c r="I13" s="14"/>
      <x:c r="J13" s="14"/>
      <x:c r="K13" s="14"/>
      <x:c r="L13" s="14"/>
    </x:row>
    <x:row r="14" ht="23" customHeight="1">
      <x:c r="A14" s="1"/>
      <x:c r="B14" s="1"/>
      <x:c r="C14" s="1" t="str">
        <x:v>Downside</x:v>
      </x:c>
      <x:c r="D14" s="11" t="n">
        <x:v>4000</x:v>
      </x:c>
      <x:c r="E14" s="11" t="n">
        <x:v>4500</x:v>
      </x:c>
      <x:c r="F14" s="11" t="n">
        <x:v>5000</x:v>
      </x:c>
      <x:c r="G14" s="1"/>
      <x:c r="H14" s="14" t="str">
        <x:v>Loaded payroll includes employer costs; all development is expensed.</x:v>
      </x:c>
      <x:c r="I14" s="14"/>
      <x:c r="J14" s="14"/>
      <x:c r="K14" s="14"/>
      <x:c r="L14" s="14"/>
    </x:row>
    <x:row r="15" ht="23" customHeight="1">
      <x:c r="A15" s="1"/>
      <x:c r="B15" s="1"/>
      <x:c r="C15" s="1"/>
      <x:c r="D15" s="12"/>
      <x:c r="E15" s="12"/>
      <x:c r="F15" s="12"/>
      <x:c r="G15" s="1"/>
      <x:c r="H15" s="14"/>
      <x:c r="I15" s="14"/>
      <x:c r="J15" s="14"/>
      <x:c r="K15" s="14"/>
      <x:c r="L15" s="14"/>
    </x:row>
    <x:row r="16" ht="23" customHeight="1">
      <x:c r="A16" s="1"/>
      <x:c r="B16" s="1"/>
      <x:c r="C16" s="9" t="str">
        <x:v>Paid pilots active</x:v>
      </x:c>
      <x:c r="D16" s="10" t="n">
        <x:f>CHOOSE($D$4,D17,D18)</x:f>
        <x:v>4</x:v>
      </x:c>
      <x:c r="E16" s="10" t="n">
        <x:f>CHOOSE($D$4,E17,E18)</x:f>
        <x:v>8</x:v>
      </x:c>
      <x:c r="F16" s="10" t="n">
        <x:f>CHOOSE($D$4,F17,F18)</x:f>
        <x:v>12</x:v>
      </x:c>
      <x:c r="G16" s="1"/>
      <x:c r="H16" s="14" t="str">
        <x:v>Hardware purchased by customers is excluded from vendor revenue and costs.</x:v>
      </x:c>
      <x:c r="I16" s="14"/>
      <x:c r="J16" s="14"/>
      <x:c r="K16" s="14"/>
      <x:c r="L16" s="14"/>
    </x:row>
    <x:row r="17" ht="23" customHeight="1">
      <x:c r="A17" s="1"/>
      <x:c r="B17" s="1"/>
      <x:c r="C17" s="1" t="str">
        <x:v>Base</x:v>
      </x:c>
      <x:c r="D17" s="11" t="n">
        <x:v>4</x:v>
      </x:c>
      <x:c r="E17" s="11" t="n">
        <x:v>8</x:v>
      </x:c>
      <x:c r="F17" s="11" t="n">
        <x:v>12</x:v>
      </x:c>
      <x:c r="G17" s="1"/>
      <x:c r="H17" s="14"/>
      <x:c r="I17" s="14"/>
      <x:c r="J17" s="14"/>
      <x:c r="K17" s="14"/>
      <x:c r="L17" s="14"/>
    </x:row>
    <x:row r="18" ht="23" customHeight="1">
      <x:c r="A18" s="1"/>
      <x:c r="B18" s="1"/>
      <x:c r="C18" s="1" t="str">
        <x:v>Downside</x:v>
      </x:c>
      <x:c r="D18" s="11" t="n">
        <x:v>3</x:v>
      </x:c>
      <x:c r="E18" s="11" t="n">
        <x:v>5</x:v>
      </x:c>
      <x:c r="F18" s="11" t="n">
        <x:v>8</x:v>
      </x:c>
      <x:c r="G18" s="1"/>
      <x:c r="H18" s="14" t="str">
        <x:v>Funding is a planning input, not a financing commitment.</x:v>
      </x:c>
      <x:c r="I18" s="14"/>
      <x:c r="J18" s="14"/>
      <x:c r="K18" s="14"/>
      <x:c r="L18" s="14"/>
    </x:row>
    <x:row r="19" ht="23" customHeight="1">
      <x:c r="A19" s="1"/>
      <x:c r="B19" s="1"/>
      <x:c r="C19" s="1"/>
      <x:c r="D19" s="12"/>
      <x:c r="E19" s="12"/>
      <x:c r="F19" s="12"/>
      <x:c r="G19" s="1"/>
      <x:c r="H19" s="14"/>
      <x:c r="I19" s="14"/>
      <x:c r="J19" s="14"/>
      <x:c r="K19" s="14"/>
      <x:c r="L19" s="14"/>
    </x:row>
    <x:row r="20" ht="23" customHeight="1">
      <x:c r="A20" s="1"/>
      <x:c r="B20" s="1"/>
      <x:c r="C20" s="1" t="str">
        <x:v>Lost subscriptions</x:v>
      </x:c>
      <x:c r="D20" s="11" t="n">
        <x:v>0</x:v>
      </x:c>
      <x:c r="E20" s="11" t="n">
        <x:v>1</x:v>
      </x:c>
      <x:c r="F20" s="11" t="n">
        <x:v>2</x:v>
      </x:c>
      <x:c r="G20" s="1"/>
      <x:c r="H20" s="14" t="str">
        <x:v>No tax, debt, depreciation or founder distributions are modeled.</x:v>
      </x:c>
      <x:c r="I20" s="14"/>
      <x:c r="J20" s="14"/>
      <x:c r="K20" s="14"/>
      <x:c r="L20" s="14"/>
    </x:row>
    <x:row r="21" ht="23" customHeight="1">
      <x:c r="A21" s="1"/>
      <x:c r="B21" s="1"/>
      <x:c r="C21" s="1" t="str">
        <x:v>Pilot fee</x:v>
      </x:c>
      <x:c r="D21" s="11" t="n">
        <x:v>18000</x:v>
      </x:c>
      <x:c r="E21" s="11" t="n">
        <x:v>18000</x:v>
      </x:c>
      <x:c r="F21" s="11" t="n">
        <x:v>18000</x:v>
      </x:c>
      <x:c r="G21" s="1"/>
      <x:c r="H21" s="14"/>
      <x:c r="I21" s="14"/>
      <x:c r="J21" s="14"/>
      <x:c r="K21" s="14"/>
      <x:c r="L21" s="14"/>
    </x:row>
    <x:row r="22" ht="23" customHeight="1">
      <x:c r="A22" s="1"/>
      <x:c r="B22" s="1"/>
      <x:c r="C22" s="1" t="str">
        <x:v>Onboarding fee per new account</x:v>
      </x:c>
      <x:c r="D22" s="11" t="n">
        <x:v>12000</x:v>
      </x:c>
      <x:c r="E22" s="11" t="n">
        <x:v>12000</x:v>
      </x:c>
      <x:c r="F22" s="11" t="n">
        <x:v>12000</x:v>
      </x:c>
      <x:c r="G22" s="1"/>
      <x:c r="H22" s="14" t="str">
        <x:v>Receivables use annual revenue times collection delay / 12.</x:v>
      </x:c>
      <x:c r="I22" s="14"/>
      <x:c r="J22" s="14"/>
      <x:c r="K22" s="14"/>
      <x:c r="L22" s="14"/>
    </x:row>
    <x:row r="23" ht="23" customHeight="1">
      <x:c r="A23" s="1"/>
      <x:c r="B23" s="1"/>
      <x:c r="C23" s="1" t="str">
        <x:v>Pilot credit per new account</x:v>
      </x:c>
      <x:c r="D23" s="11" t="n">
        <x:v>6000</x:v>
      </x:c>
      <x:c r="E23" s="11" t="n">
        <x:v>6000</x:v>
      </x:c>
      <x:c r="F23" s="11" t="n">
        <x:v>6000</x:v>
      </x:c>
      <x:c r="G23" s="1"/>
      <x:c r="H23" s="14"/>
      <x:c r="I23" s="14"/>
      <x:c r="J23" s="14"/>
      <x:c r="K23" s="14"/>
      <x:c r="L23" s="14"/>
    </x:row>
    <x:row r="24" ht="23" customHeight="1">
      <x:c r="A24" s="1"/>
      <x:c r="B24" s="1"/>
      <x:c r="C24" s="1" t="str">
        <x:v>Recurring delivery cost ratio</x:v>
      </x:c>
      <x:c r="D24" s="13" t="n">
        <x:v>0.24</x:v>
      </x:c>
      <x:c r="E24" s="13" t="n">
        <x:v>0.24</x:v>
      </x:c>
      <x:c r="F24" s="13" t="n">
        <x:v>0.24</x:v>
      </x:c>
      <x:c r="G24" s="1"/>
      <x:c r="H24" s="14" t="str">
        <x:v>The model starts in January 2027, after initial concept development.</x:v>
      </x:c>
      <x:c r="I24" s="14"/>
      <x:c r="J24" s="14"/>
      <x:c r="K24" s="14"/>
      <x:c r="L24" s="14"/>
    </x:row>
    <x:row r="25" ht="23" customHeight="1">
      <x:c r="A25" s="1"/>
      <x:c r="B25" s="1"/>
      <x:c r="C25" s="1" t="str">
        <x:v>Onboarding delivery cost</x:v>
      </x:c>
      <x:c r="D25" s="11" t="n">
        <x:v>4000</x:v>
      </x:c>
      <x:c r="E25" s="11" t="n">
        <x:v>4000</x:v>
      </x:c>
      <x:c r="F25" s="11" t="n">
        <x:v>4000</x:v>
      </x:c>
      <x:c r="G25" s="1"/>
      <x:c r="H25" s="14"/>
      <x:c r="I25" s="14"/>
      <x:c r="J25" s="14"/>
      <x:c r="K25" s="14"/>
      <x:c r="L25" s="14"/>
    </x:row>
    <x:row r="26" ht="23" customHeight="1">
      <x:c r="A26" s="1"/>
      <x:c r="B26" s="1"/>
      <x:c r="C26" s="1" t="str">
        <x:v>Direct cost per pilot</x:v>
      </x:c>
      <x:c r="D26" s="11" t="n">
        <x:v>7000</x:v>
      </x:c>
      <x:c r="E26" s="11" t="n">
        <x:v>7000</x:v>
      </x:c>
      <x:c r="F26" s="11" t="n">
        <x:v>7000</x:v>
      </x:c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 t="str">
        <x:v>Loaded payroll</x:v>
      </x:c>
      <x:c r="D27" s="11" t="n">
        <x:v>480000</x:v>
      </x:c>
      <x:c r="E27" s="11" t="n">
        <x:v>660000</x:v>
      </x:c>
      <x:c r="F27" s="11" t="n">
        <x:v>900000</x:v>
      </x:c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 t="str">
        <x:v>Other annual operating costs</x:v>
      </x:c>
      <x:c r="D28" s="11" t="n">
        <x:v>130000</x:v>
      </x:c>
      <x:c r="E28" s="11" t="n">
        <x:v>180000</x:v>
      </x:c>
      <x:c r="F28" s="11" t="n">
        <x:v>240000</x:v>
      </x:c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 t="str">
        <x:v>One-time launch expense</x:v>
      </x:c>
      <x:c r="D29" s="11" t="n">
        <x:v>65000</x:v>
      </x:c>
      <x:c r="E29" s="11" t="n">
        <x:v>0</x:v>
      </x:c>
      <x:c r="F29" s="11" t="n">
        <x:v>0</x:v>
      </x:c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 t="str">
        <x:v>Equipment capital expenditure</x:v>
      </x:c>
      <x:c r="D30" s="11" t="n">
        <x:v>20000</x:v>
      </x:c>
      <x:c r="E30" s="11" t="n">
        <x:v>15000</x:v>
      </x:c>
      <x:c r="F30" s="11" t="n">
        <x:v>20000</x:v>
      </x:c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 t="str">
        <x:v>Collection delay in months</x:v>
      </x:c>
      <x:c r="D31" s="11" t="n">
        <x:v>2</x:v>
      </x:c>
      <x:c r="E31" s="11" t="n">
        <x:v>2</x:v>
      </x:c>
      <x:c r="F31" s="11" t="n">
        <x:v>2</x:v>
      </x:c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 t="str">
        <x:v>Initial funding</x:v>
      </x:c>
      <x:c r="D32" s="11" t="n">
        <x:v>1350000</x:v>
      </x:c>
      <x:c r="E32" s="11" t="n">
        <x:v>0</x:v>
      </x:c>
      <x:c r="F32" s="11" t="n">
        <x:v>0</x:v>
      </x:c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H8:L9"/>
    <x:mergeCell ref="H10:L11"/>
    <x:mergeCell ref="H12:L13"/>
    <x:mergeCell ref="H14:L15"/>
    <x:mergeCell ref="H16:L17"/>
    <x:mergeCell ref="H18:L19"/>
    <x:mergeCell ref="H20:L21"/>
    <x:mergeCell ref="H22:L23"/>
    <x:mergeCell ref="H24:L25"/>
  </x:mergeCells>
  <x:dataValidations count="1">
    <x:dataValidation type="list" sqref="D4">
      <x:formula1>"1,2"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2" t="str">
        <x:v>PaveLedger three year operating forecast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1"/>
      <x:c r="B4" s="1"/>
      <x:c r="C4" s="1" t="str">
        <x:v>Case selected</x:v>
      </x:c>
      <x:c r="D4" s="15" t="str">
        <x:f>CHOOSE('Assumptions'!D4,"Base","Downside")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6" customHeight="1">
      <x:c r="A6" s="1"/>
      <x:c r="B6" s="1"/>
      <x:c r="C6" s="7" t="str">
        <x:v>CAD unless otherwise stated</x:v>
      </x:c>
      <x:c r="D6" s="7" t="n">
        <x:v>2027</x:v>
      </x:c>
      <x:c r="E6" s="7" t="n">
        <x:v>2028</x:v>
      </x:c>
      <x:c r="F6" s="7" t="n">
        <x:v>2029</x:v>
      </x:c>
      <x:c r="G6" s="1"/>
      <x:c r="H6" s="1"/>
      <x:c r="I6" s="1"/>
      <x:c r="J6" s="1"/>
      <x:c r="K6" s="1"/>
      <x:c r="L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 t="str">
        <x:v>Opening subscriptions</x:v>
      </x:c>
      <x:c r="D8" s="12" t="n">
        <x:f>0</x:f>
        <x:v>0</x:v>
      </x:c>
      <x:c r="E8" s="12" t="n">
        <x:f>D11</x:f>
        <x:v>4</x:v>
      </x:c>
      <x:c r="F8" s="12" t="n">
        <x:f>E11</x:f>
        <x:v>13</x:v>
      </x:c>
      <x:c r="G8" s="1"/>
      <x:c r="H8" s="14" t="str">
        <x:v>Revenue is recognized over time; cash reflects collection delay.</x:v>
      </x:c>
      <x:c r="I8" s="14"/>
      <x:c r="J8" s="14"/>
      <x:c r="K8" s="14"/>
      <x:c r="L8" s="14"/>
    </x:row>
    <x:row r="9" ht="23" customHeight="1">
      <x:c r="A9" s="1"/>
      <x:c r="B9" s="1"/>
      <x:c r="C9" s="1" t="str">
        <x:v>New subscriptions</x:v>
      </x:c>
      <x:c r="D9" s="16" t="n">
        <x:f>'Assumptions'!D8</x:f>
        <x:v>4</x:v>
      </x:c>
      <x:c r="E9" s="16" t="n">
        <x:f>'Assumptions'!E8</x:f>
        <x:v>10</x:v>
      </x:c>
      <x:c r="F9" s="16" t="n">
        <x:f>'Assumptions'!F8</x:f>
        <x:v>20</x:v>
      </x:c>
      <x:c r="G9" s="1"/>
      <x:c r="H9" s="14"/>
      <x:c r="I9" s="14"/>
      <x:c r="J9" s="14"/>
      <x:c r="K9" s="14"/>
      <x:c r="L9" s="14"/>
    </x:row>
    <x:row r="10" ht="23" customHeight="1">
      <x:c r="A10" s="1"/>
      <x:c r="B10" s="1"/>
      <x:c r="C10" s="1" t="str">
        <x:v>Lost subscriptions</x:v>
      </x:c>
      <x:c r="D10" s="16" t="n">
        <x:f>'Assumptions'!D20</x:f>
        <x:v>0</x:v>
      </x:c>
      <x:c r="E10" s="16" t="n">
        <x:f>'Assumptions'!E20</x:f>
        <x:v>1</x:v>
      </x:c>
      <x:c r="F10" s="16" t="n">
        <x:f>'Assumptions'!F20</x:f>
        <x:v>2</x:v>
      </x:c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9" t="str">
        <x:v>Ending subscriptions</x:v>
      </x:c>
      <x:c r="D11" s="10" t="n">
        <x:f>D8+D9-D10</x:f>
        <x:v>4</x:v>
      </x:c>
      <x:c r="E11" s="10" t="n">
        <x:f>E8+E9-E10</x:f>
        <x:v>13</x:v>
      </x:c>
      <x:c r="F11" s="10" t="n">
        <x:f>F8+F9-F10</x:f>
        <x:v>31</x:v>
      </x:c>
      <x:c r="G11" s="1"/>
      <x:c r="H11" s="14" t="str">
        <x:v>EBITDA is not free cash flow or net income.</x:v>
      </x:c>
      <x:c r="I11" s="14"/>
      <x:c r="J11" s="14"/>
      <x:c r="K11" s="14"/>
      <x:c r="L11" s="14"/>
    </x:row>
    <x:row r="12" ht="23" customHeight="1">
      <x:c r="A12" s="1"/>
      <x:c r="B12" s="1"/>
      <x:c r="C12" s="1" t="str">
        <x:v>Average billable subscriptions</x:v>
      </x:c>
      <x:c r="D12" s="17" t="n">
        <x:f>D8+(D9-D10)/2</x:f>
        <x:v>2</x:v>
      </x:c>
      <x:c r="E12" s="17" t="n">
        <x:f>E8+(E9-E10)/2</x:f>
        <x:v>8.5</x:v>
      </x:c>
      <x:c r="F12" s="17" t="n">
        <x:f>F8+(F9-F10)/2</x:f>
        <x:v>22</x:v>
      </x:c>
      <x:c r="G12" s="1"/>
      <x:c r="H12" s="14"/>
      <x:c r="I12" s="14"/>
      <x:c r="J12" s="14"/>
      <x:c r="K12" s="14"/>
      <x:c r="L12" s="14"/>
    </x:row>
    <x:row r="13" ht="23" customHeight="1">
      <x:c r="A13" s="1"/>
      <x:c r="B13" s="1"/>
      <x:c r="C13" s="1" t="str">
        <x:v>Monthly revenue per account</x:v>
      </x:c>
      <x:c r="D13" s="16" t="n">
        <x:f>'Assumptions'!D12</x:f>
        <x:v>4500</x:v>
      </x:c>
      <x:c r="E13" s="16" t="n">
        <x:f>'Assumptions'!E12</x:f>
        <x:v>5000</x:v>
      </x:c>
      <x:c r="F13" s="16" t="n">
        <x:f>'Assumptions'!F12</x:f>
        <x:v>5500</x:v>
      </x:c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2"/>
      <x:c r="E14" s="12"/>
      <x:c r="F14" s="12"/>
      <x:c r="G14" s="1"/>
      <x:c r="H14" s="14" t="str">
        <x:v>Breakeven excludes new pilot and onboarding contribution.</x:v>
      </x:c>
      <x:c r="I14" s="14"/>
      <x:c r="J14" s="14"/>
      <x:c r="K14" s="14"/>
      <x:c r="L14" s="14"/>
    </x:row>
    <x:row r="15" ht="23" customHeight="1">
      <x:c r="A15" s="1"/>
      <x:c r="B15" s="1"/>
      <x:c r="C15" s="1" t="str">
        <x:v>Subscription revenue</x:v>
      </x:c>
      <x:c r="D15" s="12" t="n">
        <x:f>D12*D13*12</x:f>
        <x:v>108000</x:v>
      </x:c>
      <x:c r="E15" s="12" t="n">
        <x:f>E12*E13*12</x:f>
        <x:v>510000</x:v>
      </x:c>
      <x:c r="F15" s="12" t="n">
        <x:f>F12*F13*12</x:f>
        <x:v>1452000</x:v>
      </x:c>
      <x:c r="G15" s="1"/>
      <x:c r="H15" s="14"/>
      <x:c r="I15" s="14"/>
      <x:c r="J15" s="14"/>
      <x:c r="K15" s="14"/>
      <x:c r="L15" s="14"/>
    </x:row>
    <x:row r="16" ht="23" customHeight="1">
      <x:c r="A16" s="1"/>
      <x:c r="B16" s="1"/>
      <x:c r="C16" s="1" t="str">
        <x:v>Paid pilots</x:v>
      </x:c>
      <x:c r="D16" s="16" t="n">
        <x:f>'Assumptions'!D16</x:f>
        <x:v>4</x:v>
      </x:c>
      <x:c r="E16" s="16" t="n">
        <x:f>'Assumptions'!E16</x:f>
        <x:v>8</x:v>
      </x:c>
      <x:c r="F16" s="16" t="n">
        <x:f>'Assumptions'!F16</x:f>
        <x:v>12</x:v>
      </x:c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 t="str">
        <x:v>Pilot revenue</x:v>
      </x:c>
      <x:c r="D17" s="16" t="n">
        <x:f>D16*'Assumptions'!D21</x:f>
        <x:v>72000</x:v>
      </x:c>
      <x:c r="E17" s="16" t="n">
        <x:f>E16*'Assumptions'!E21</x:f>
        <x:v>144000</x:v>
      </x:c>
      <x:c r="F17" s="16" t="n">
        <x:f>F16*'Assumptions'!F21</x:f>
        <x:v>216000</x:v>
      </x:c>
      <x:c r="G17" s="1"/>
      <x:c r="H17" s="14" t="str">
        <x:v>Customers and pilots are sales assumptions, not signed pipeline.</x:v>
      </x:c>
      <x:c r="I17" s="14"/>
      <x:c r="J17" s="14"/>
      <x:c r="K17" s="14"/>
      <x:c r="L17" s="14"/>
    </x:row>
    <x:row r="18" ht="23" customHeight="1">
      <x:c r="A18" s="1"/>
      <x:c r="B18" s="1"/>
      <x:c r="C18" s="1" t="str">
        <x:v>Onboarding revenue</x:v>
      </x:c>
      <x:c r="D18" s="16" t="n">
        <x:f>D9*'Assumptions'!D22</x:f>
        <x:v>48000</x:v>
      </x:c>
      <x:c r="E18" s="16" t="n">
        <x:f>E9*'Assumptions'!E22</x:f>
        <x:v>120000</x:v>
      </x:c>
      <x:c r="F18" s="16" t="n">
        <x:f>F9*'Assumptions'!F22</x:f>
        <x:v>240000</x:v>
      </x:c>
      <x:c r="G18" s="1"/>
      <x:c r="H18" s="14"/>
      <x:c r="I18" s="14"/>
      <x:c r="J18" s="14"/>
      <x:c r="K18" s="14"/>
      <x:c r="L18" s="14"/>
    </x:row>
    <x:row r="19" ht="23" customHeight="1">
      <x:c r="A19" s="1"/>
      <x:c r="B19" s="1"/>
      <x:c r="C19" s="1" t="str">
        <x:v>Migration credits</x:v>
      </x:c>
      <x:c r="D19" s="16" t="n">
        <x:f>-D9*'Assumptions'!D23</x:f>
        <x:v>-24000</x:v>
      </x:c>
      <x:c r="E19" s="16" t="n">
        <x:f>-E9*'Assumptions'!E23</x:f>
        <x:v>-60000</x:v>
      </x:c>
      <x:c r="F19" s="16" t="n">
        <x:f>-F9*'Assumptions'!F23</x:f>
        <x:v>-120000</x:v>
      </x:c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9" t="str">
        <x:v>Total revenue</x:v>
      </x:c>
      <x:c r="D20" s="10" t="n">
        <x:f>SUM(D15,D17:D19)</x:f>
        <x:v>204000</x:v>
      </x:c>
      <x:c r="E20" s="10" t="n">
        <x:f>SUM(E15,E17:E19)</x:f>
        <x:v>714000</x:v>
      </x:c>
      <x:c r="F20" s="10" t="n">
        <x:f>SUM(F15,F17:F19)</x:f>
        <x:v>1788000</x:v>
      </x:c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2"/>
      <x:c r="E21" s="12"/>
      <x:c r="F21" s="12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 t="str">
        <x:v>Recurring delivery costs</x:v>
      </x:c>
      <x:c r="D22" s="16" t="n">
        <x:f>D15*'Assumptions'!D24</x:f>
        <x:v>25920</x:v>
      </x:c>
      <x:c r="E22" s="16" t="n">
        <x:f>E15*'Assumptions'!E24</x:f>
        <x:v>122400</x:v>
      </x:c>
      <x:c r="F22" s="16" t="n">
        <x:f>F15*'Assumptions'!F24</x:f>
        <x:v>348480</x:v>
      </x:c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 t="str">
        <x:v>Onboarding delivery costs</x:v>
      </x:c>
      <x:c r="D23" s="16" t="n">
        <x:f>D9*'Assumptions'!D25</x:f>
        <x:v>16000</x:v>
      </x:c>
      <x:c r="E23" s="16" t="n">
        <x:f>E9*'Assumptions'!E25</x:f>
        <x:v>40000</x:v>
      </x:c>
      <x:c r="F23" s="16" t="n">
        <x:f>F9*'Assumptions'!F25</x:f>
        <x:v>80000</x:v>
      </x:c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 t="str">
        <x:v>Pilot delivery costs</x:v>
      </x:c>
      <x:c r="D24" s="16" t="n">
        <x:f>D16*'Assumptions'!D26</x:f>
        <x:v>28000</x:v>
      </x:c>
      <x:c r="E24" s="16" t="n">
        <x:f>E16*'Assumptions'!E26</x:f>
        <x:v>56000</x:v>
      </x:c>
      <x:c r="F24" s="16" t="n">
        <x:f>F16*'Assumptions'!F26</x:f>
        <x:v>84000</x:v>
      </x:c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9" t="str">
        <x:v>Total direct costs</x:v>
      </x:c>
      <x:c r="D25" s="10" t="n">
        <x:f>SUM(D22:D24)</x:f>
        <x:v>69920</x:v>
      </x:c>
      <x:c r="E25" s="10" t="n">
        <x:f>SUM(E22:E24)</x:f>
        <x:v>218400</x:v>
      </x:c>
      <x:c r="F25" s="10" t="n">
        <x:f>SUM(F22:F24)</x:f>
        <x:v>512480</x:v>
      </x:c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9" t="str">
        <x:v>Gross profit</x:v>
      </x:c>
      <x:c r="D26" s="10" t="n">
        <x:f>D20-D25</x:f>
        <x:v>134080</x:v>
      </x:c>
      <x:c r="E26" s="10" t="n">
        <x:f>E20-E25</x:f>
        <x:v>495600</x:v>
      </x:c>
      <x:c r="F26" s="10" t="n">
        <x:f>F20-F25</x:f>
        <x:v>1275520</x:v>
      </x:c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 t="str">
        <x:v>Gross margin</x:v>
      </x:c>
      <x:c r="D27" s="18" t="n">
        <x:f>IF(D20=0,"n.a.",D26/D20)</x:f>
        <x:v>0.6572549019607843</x:v>
      </x:c>
      <x:c r="E27" s="18" t="n">
        <x:f>IF(E20=0,"n.a.",E26/E20)</x:f>
        <x:v>0.6941176470588235</x:v>
      </x:c>
      <x:c r="F27" s="18" t="n">
        <x:f>IF(F20=0,"n.a.",F26/F20)</x:f>
        <x:v>0.7133780760626398</x:v>
      </x:c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2"/>
      <x:c r="E28" s="12"/>
      <x:c r="F28" s="12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 t="str">
        <x:v>Loaded payroll</x:v>
      </x:c>
      <x:c r="D29" s="16" t="n">
        <x:f>'Assumptions'!D27</x:f>
        <x:v>480000</x:v>
      </x:c>
      <x:c r="E29" s="16" t="n">
        <x:f>'Assumptions'!E27</x:f>
        <x:v>660000</x:v>
      </x:c>
      <x:c r="F29" s="16" t="n">
        <x:f>'Assumptions'!F27</x:f>
        <x:v>900000</x:v>
      </x:c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 t="str">
        <x:v>Other operating expenses</x:v>
      </x:c>
      <x:c r="D30" s="16" t="n">
        <x:f>'Assumptions'!D28</x:f>
        <x:v>130000</x:v>
      </x:c>
      <x:c r="E30" s="16" t="n">
        <x:f>'Assumptions'!E28</x:f>
        <x:v>180000</x:v>
      </x:c>
      <x:c r="F30" s="16" t="n">
        <x:f>'Assumptions'!F28</x:f>
        <x:v>240000</x:v>
      </x:c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 t="str">
        <x:v>One-time launch expense</x:v>
      </x:c>
      <x:c r="D31" s="16" t="n">
        <x:f>'Assumptions'!D29</x:f>
        <x:v>65000</x:v>
      </x:c>
      <x:c r="E31" s="16" t="n">
        <x:f>'Assumptions'!E29</x:f>
        <x:v>0</x:v>
      </x:c>
      <x:c r="F31" s="16" t="n">
        <x:f>'Assumptions'!F29</x:f>
        <x:v>0</x:v>
      </x:c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9" t="str">
        <x:v>Total operating expenses</x:v>
      </x:c>
      <x:c r="D32" s="10" t="n">
        <x:f>SUM(D29:D31)</x:f>
        <x:v>675000</x:v>
      </x:c>
      <x:c r="E32" s="10" t="n">
        <x:f>SUM(E29:E31)</x:f>
        <x:v>840000</x:v>
      </x:c>
      <x:c r="F32" s="10" t="n">
        <x:f>SUM(F29:F31)</x:f>
        <x:v>1140000</x:v>
      </x:c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9" t="str">
        <x:v>EBITDA before depreciation and tax</x:v>
      </x:c>
      <x:c r="D33" s="10" t="n">
        <x:f>D26-D32</x:f>
        <x:v>-540920</x:v>
      </x:c>
      <x:c r="E33" s="10" t="n">
        <x:f>E26-E32</x:f>
        <x:v>-344400</x:v>
      </x:c>
      <x:c r="F33" s="10" t="n">
        <x:f>F26-F32</x:f>
        <x:v>135520</x:v>
      </x:c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2"/>
      <x:c r="E34" s="12"/>
      <x:c r="F34" s="12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 t="str">
        <x:v>Capital expenditure</x:v>
      </x:c>
      <x:c r="D35" s="16" t="n">
        <x:f>'Assumptions'!D30</x:f>
        <x:v>20000</x:v>
      </x:c>
      <x:c r="E35" s="16" t="n">
        <x:f>'Assumptions'!E30</x:f>
        <x:v>15000</x:v>
      </x:c>
      <x:c r="F35" s="16" t="n">
        <x:f>'Assumptions'!F30</x:f>
        <x:v>20000</x:v>
      </x:c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 t="str">
        <x:v>Ending receivables</x:v>
      </x:c>
      <x:c r="D36" s="16" t="n">
        <x:f>D20*'Assumptions'!D31/12</x:f>
        <x:v>34000</x:v>
      </x:c>
      <x:c r="E36" s="16" t="n">
        <x:f>E20*'Assumptions'!E31/12</x:f>
        <x:v>119000</x:v>
      </x:c>
      <x:c r="F36" s="16" t="n">
        <x:f>F20*'Assumptions'!F31/12</x:f>
        <x:v>298000</x:v>
      </x:c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 t="str">
        <x:v>Opening receivables</x:v>
      </x:c>
      <x:c r="D37" s="12" t="n">
        <x:f>0</x:f>
        <x:v>0</x:v>
      </x:c>
      <x:c r="E37" s="12" t="n">
        <x:f>D36</x:f>
        <x:v>34000</x:v>
      </x:c>
      <x:c r="F37" s="12" t="n">
        <x:f>E36</x:f>
        <x:v>119000</x:v>
      </x:c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 t="str">
        <x:v>Increase in receivables</x:v>
      </x:c>
      <x:c r="D38" s="12" t="n">
        <x:f>D36-D37</x:f>
        <x:v>34000</x:v>
      </x:c>
      <x:c r="E38" s="12" t="n">
        <x:f>E36-E37</x:f>
        <x:v>85000</x:v>
      </x:c>
      <x:c r="F38" s="12" t="n">
        <x:f>F36-F37</x:f>
        <x:v>179000</x:v>
      </x:c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9" t="str">
        <x:v>Cash flow before financing</x:v>
      </x:c>
      <x:c r="D39" s="10" t="n">
        <x:f>D33-D35-D38</x:f>
        <x:v>-594920</x:v>
      </x:c>
      <x:c r="E39" s="10" t="n">
        <x:f>E33-E35-E38</x:f>
        <x:v>-444400</x:v>
      </x:c>
      <x:c r="F39" s="10" t="n">
        <x:f>F33-F35-F38</x:f>
        <x:v>-63480</x:v>
      </x:c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 t="str">
        <x:v>Opening cash</x:v>
      </x:c>
      <x:c r="D40" s="12" t="n">
        <x:f>0</x:f>
        <x:v>0</x:v>
      </x:c>
      <x:c r="E40" s="12" t="n">
        <x:f>D42</x:f>
        <x:v>755080</x:v>
      </x:c>
      <x:c r="F40" s="12" t="n">
        <x:f>E42</x:f>
        <x:v>310680</x:v>
      </x:c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 t="str">
        <x:v>Funding received</x:v>
      </x:c>
      <x:c r="D41" s="16" t="n">
        <x:f>'Assumptions'!D32</x:f>
        <x:v>1350000</x:v>
      </x:c>
      <x:c r="E41" s="16" t="n">
        <x:f>'Assumptions'!E32</x:f>
        <x:v>0</x:v>
      </x:c>
      <x:c r="F41" s="16" t="n">
        <x:f>'Assumptions'!F32</x:f>
        <x:v>0</x:v>
      </x:c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9" t="str">
        <x:v>Ending cash</x:v>
      </x:c>
      <x:c r="D42" s="10" t="n">
        <x:f>SUM(D39:D41)</x:f>
        <x:v>755080</x:v>
      </x:c>
      <x:c r="E42" s="10" t="n">
        <x:f>SUM(E39:E41)</x:f>
        <x:v>310680</x:v>
      </x:c>
      <x:c r="F42" s="10" t="n">
        <x:f>SUM(F39:F41)</x:f>
        <x:v>247200</x:v>
      </x:c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2"/>
      <x:c r="E43" s="12"/>
      <x:c r="F43" s="12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9" t="str">
        <x:v>Exit annual recurring revenue</x:v>
      </x:c>
      <x:c r="D44" s="10" t="n">
        <x:f>D11*D13*12</x:f>
        <x:v>216000</x:v>
      </x:c>
      <x:c r="E44" s="10" t="n">
        <x:f>E11*E13*12</x:f>
        <x:v>780000</x:v>
      </x:c>
      <x:c r="F44" s="10" t="n">
        <x:f>F11*F13*12</x:f>
        <x:v>2046000</x:v>
      </x:c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 t="str">
        <x:v>Recurring breakeven accounts</x:v>
      </x:c>
      <x:c r="D45" s="16" t="n">
        <x:f>ROUNDUP((D29+D30)/(D13*12*(1-'Assumptions'!D24)),0)</x:f>
        <x:v>15</x:v>
      </x:c>
      <x:c r="E45" s="16" t="n">
        <x:f>ROUNDUP((E29+E30)/(E13*12*(1-'Assumptions'!E24)),0)</x:f>
        <x:v>19</x:v>
      </x:c>
      <x:c r="F45" s="16" t="n">
        <x:f>ROUNDUP((F29+F30)/(F13*12*(1-'Assumptions'!F24)),0)</x:f>
        <x:v>23</x:v>
      </x:c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 t="str">
        <x:v>Cash reconciliation difference</x:v>
      </x:c>
      <x:c r="D46" s="19" t="n">
        <x:f>D42-D40-D41-D39</x:f>
        <x:v>0</x:v>
      </x:c>
      <x:c r="E46" s="19" t="n">
        <x:f>E42-E40-E41-E39</x:f>
        <x:v>0</x:v>
      </x:c>
      <x:c r="F46" s="19" t="n">
        <x:f>F42-F40-F41-F39</x:f>
        <x:v>0</x:v>
      </x:c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H8:L9"/>
    <x:mergeCell ref="H11:L12"/>
    <x:mergeCell ref="H14:L15"/>
    <x:mergeCell ref="H17:L18"/>
  </x:mergeCells>
  <x:conditionalFormatting sqref="D42:F4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2" t="str">
        <x:v>Municipal buyer value calculator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1"/>
      <x:c r="B4" s="1"/>
      <x:c r="C4" s="1" t="str">
        <x:v>Illustrative Municipal plan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6" customHeight="1">
      <x:c r="A6" s="1"/>
      <x:c r="B6" s="1"/>
      <x:c r="C6" s="7" t="str">
        <x:v>Editable buyer input</x:v>
      </x:c>
      <x:c r="D6" s="7" t="str">
        <x:v>Value</x:v>
      </x:c>
      <x:c r="E6" s="7" t="str">
        <x:v>Unit</x:v>
      </x:c>
      <x:c r="F6" s="7" t="str"/>
      <x:c r="G6" s="1"/>
      <x:c r="H6" s="1"/>
      <x:c r="I6" s="1"/>
      <x:c r="J6" s="1"/>
      <x:c r="K6" s="1"/>
      <x:c r="L6" s="1"/>
    </x:row>
    <x:row r="7" ht="23" customHeight="1">
      <x:c r="A7" s="1"/>
      <x:c r="B7" s="1"/>
      <x:c r="C7" s="1"/>
      <x:c r="D7" s="1"/>
      <x:c r="E7" s="1"/>
      <x:c r="F7" s="1"/>
      <x:c r="G7" s="1"/>
      <x:c r="H7" s="1" t="str">
        <x:v>Interpretation</x:v>
      </x:c>
      <x:c r="I7" s="1"/>
      <x:c r="J7" s="1"/>
      <x:c r="K7" s="1"/>
      <x:c r="L7" s="1"/>
    </x:row>
    <x:row r="8" ht="23" customHeight="1">
      <x:c r="A8" s="1"/>
      <x:c r="B8" s="1"/>
      <x:c r="C8" s="1" t="str">
        <x:v>Annual reported defects</x:v>
      </x:c>
      <x:c r="D8" s="11" t="n">
        <x:v>500</x:v>
      </x:c>
      <x:c r="E8" s="1" t="str">
        <x:v>cases</x:v>
      </x:c>
      <x:c r="F8" s="1" t="str"/>
      <x:c r="G8" s="1"/>
      <x:c r="H8" s="14" t="str">
        <x:v>Staff capacity is not an automatic budget reduction.</x:v>
      </x:c>
      <x:c r="I8" s="14"/>
      <x:c r="J8" s="14"/>
      <x:c r="K8" s="14"/>
      <x:c r="L8" s="14"/>
    </x:row>
    <x:row r="9" ht="23" customHeight="1">
      <x:c r="A9" s="1"/>
      <x:c r="B9" s="1"/>
      <x:c r="C9" s="1" t="str">
        <x:v>Potential warranty share</x:v>
      </x:c>
      <x:c r="D9" s="13" t="n">
        <x:v>0.2</x:v>
      </x:c>
      <x:c r="E9" s="1" t="str">
        <x:v>fraction</x:v>
      </x:c>
      <x:c r="F9" s="1" t="str"/>
      <x:c r="G9" s="1"/>
      <x:c r="H9" s="14"/>
      <x:c r="I9" s="14"/>
      <x:c r="J9" s="14"/>
      <x:c r="K9" s="14"/>
      <x:c r="L9" s="14"/>
    </x:row>
    <x:row r="10" ht="23" customHeight="1">
      <x:c r="A10" s="1"/>
      <x:c r="B10" s="1"/>
      <x:c r="C10" s="1" t="str">
        <x:v>Accepted eligible claims</x:v>
      </x:c>
      <x:c r="D10" s="13" t="n">
        <x:v>0.8</x:v>
      </x:c>
      <x:c r="E10" s="1" t="str">
        <x:v>fraction</x:v>
      </x:c>
      <x:c r="F10" s="1" t="str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 t="str">
        <x:v>Avoided repair cost per claim</x:v>
      </x:c>
      <x:c r="D11" s="11" t="n">
        <x:v>250</x:v>
      </x:c>
      <x:c r="E11" s="1" t="str">
        <x:v>CAD</x:v>
      </x:c>
      <x:c r="F11" s="1" t="str"/>
      <x:c r="G11" s="1"/>
      <x:c r="H11" s="14" t="str">
        <x:v>Avoided costs count only after accepted responsibility and verified repair.</x:v>
      </x:c>
      <x:c r="I11" s="14"/>
      <x:c r="J11" s="14"/>
      <x:c r="K11" s="14"/>
      <x:c r="L11" s="14"/>
    </x:row>
    <x:row r="12" ht="23" customHeight="1">
      <x:c r="A12" s="1"/>
      <x:c r="B12" s="1"/>
      <x:c r="C12" s="1" t="str">
        <x:v>Administrative hours released</x:v>
      </x:c>
      <x:c r="D12" s="11" t="n">
        <x:v>800</x:v>
      </x:c>
      <x:c r="E12" s="1" t="str">
        <x:v>hours</x:v>
      </x:c>
      <x:c r="F12" s="1" t="str"/>
      <x:c r="G12" s="1"/>
      <x:c r="H12" s="14"/>
      <x:c r="I12" s="14"/>
      <x:c r="J12" s="14"/>
      <x:c r="K12" s="14"/>
      <x:c r="L12" s="14"/>
    </x:row>
    <x:row r="13" ht="23" customHeight="1">
      <x:c r="A13" s="1"/>
      <x:c r="B13" s="1"/>
      <x:c r="C13" s="1" t="str">
        <x:v>Loaded staff cost per hour</x:v>
      </x:c>
      <x:c r="D13" s="11" t="n">
        <x:v>45</x:v>
      </x:c>
      <x:c r="E13" s="1" t="str">
        <x:v>CAD</x:v>
      </x:c>
      <x:c r="F13" s="1" t="str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 t="str">
        <x:v>Duplicate dispatches avoided</x:v>
      </x:c>
      <x:c r="D14" s="11" t="n">
        <x:v>20</x:v>
      </x:c>
      <x:c r="E14" s="1" t="str">
        <x:v>dispatches</x:v>
      </x:c>
      <x:c r="F14" s="1" t="str"/>
      <x:c r="G14" s="1"/>
      <x:c r="H14" s="14" t="str">
        <x:v>Pilot cost is included, conservatively, alongside a full annual subscription.</x:v>
      </x:c>
      <x:c r="I14" s="14"/>
      <x:c r="J14" s="14"/>
      <x:c r="K14" s="14"/>
      <x:c r="L14" s="14"/>
    </x:row>
    <x:row r="15" ht="23" customHeight="1">
      <x:c r="A15" s="1"/>
      <x:c r="B15" s="1"/>
      <x:c r="C15" s="1" t="str">
        <x:v>Cost per duplicate dispatch</x:v>
      </x:c>
      <x:c r="D15" s="11" t="n">
        <x:v>250</x:v>
      </x:c>
      <x:c r="E15" s="1" t="str">
        <x:v>CAD</x:v>
      </x:c>
      <x:c r="F15" s="1" t="str"/>
      <x:c r="G15" s="1"/>
      <x:c r="H15" s="14"/>
      <x:c r="I15" s="14"/>
      <x:c r="J15" s="14"/>
      <x:c r="K15" s="14"/>
      <x:c r="L15" s="14"/>
    </x:row>
    <x:row r="16" ht="23" customHeight="1">
      <x:c r="A16" s="1"/>
      <x:c r="B16" s="1"/>
      <x:c r="C16" s="1"/>
      <x:c r="D16" s="12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 t="str">
        <x:v>Software monthly price</x:v>
      </x:c>
      <x:c r="D17" s="11" t="n">
        <x:v>2500</x:v>
      </x:c>
      <x:c r="E17" s="1" t="str">
        <x:v>CAD</x:v>
      </x:c>
      <x:c r="F17" s="1" t="str"/>
      <x:c r="G17" s="1"/>
      <x:c r="H17" s="14" t="str">
        <x:v>Use actual invoices, staffing rates and defect volumes before selling ROI.</x:v>
      </x:c>
      <x:c r="I17" s="14"/>
      <x:c r="J17" s="14"/>
      <x:c r="K17" s="14"/>
      <x:c r="L17" s="14"/>
    </x:row>
    <x:row r="18" ht="23" customHeight="1">
      <x:c r="A18" s="1"/>
      <x:c r="B18" s="1"/>
      <x:c r="C18" s="1" t="str">
        <x:v>Capture devices</x:v>
      </x:c>
      <x:c r="D18" s="11" t="n">
        <x:v>5</x:v>
      </x:c>
      <x:c r="E18" s="1" t="str">
        <x:v>devices</x:v>
      </x:c>
      <x:c r="F18" s="1" t="str"/>
      <x:c r="G18" s="1"/>
      <x:c r="H18" s="14"/>
      <x:c r="I18" s="14"/>
      <x:c r="J18" s="14"/>
      <x:c r="K18" s="14"/>
      <x:c r="L18" s="14"/>
    </x:row>
    <x:row r="19" ht="23" customHeight="1">
      <x:c r="A19" s="1"/>
      <x:c r="B19" s="1"/>
      <x:c r="C19" s="1" t="str">
        <x:v>Device and installation cost</x:v>
      </x:c>
      <x:c r="D19" s="11" t="n">
        <x:v>1450</x:v>
      </x:c>
      <x:c r="E19" s="1" t="str">
        <x:v>CAD/device</x:v>
      </x:c>
      <x:c r="F19" s="1" t="str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 t="str">
        <x:v>Connectivity per month</x:v>
      </x:c>
      <x:c r="D20" s="11" t="n">
        <x:v>25</x:v>
      </x:c>
      <x:c r="E20" s="1" t="str">
        <x:v>CAD/device</x:v>
      </x:c>
      <x:c r="F20" s="1" t="str"/>
      <x:c r="G20" s="1"/>
      <x:c r="H20" s="14" t="str">
        <x:v>All values are editable planning assumptions prepared 25 September 2026.</x:v>
      </x:c>
      <x:c r="I20" s="14"/>
      <x:c r="J20" s="14"/>
      <x:c r="K20" s="14"/>
      <x:c r="L20" s="14"/>
    </x:row>
    <x:row r="21" ht="23" customHeight="1">
      <x:c r="A21" s="1"/>
      <x:c r="B21" s="1"/>
      <x:c r="C21" s="1" t="str">
        <x:v>Onboarding fee</x:v>
      </x:c>
      <x:c r="D21" s="11" t="n">
        <x:v>5000</x:v>
      </x:c>
      <x:c r="E21" s="1" t="str">
        <x:v>CAD</x:v>
      </x:c>
      <x:c r="F21" s="1" t="str"/>
      <x:c r="G21" s="1"/>
      <x:c r="H21" s="14"/>
      <x:c r="I21" s="14"/>
      <x:c r="J21" s="14"/>
      <x:c r="K21" s="14"/>
      <x:c r="L21" s="14"/>
    </x:row>
    <x:row r="22" ht="23" customHeight="1">
      <x:c r="A22" s="1"/>
      <x:c r="B22" s="1"/>
      <x:c r="C22" s="1" t="str">
        <x:v>Paid pilot fee</x:v>
      </x:c>
      <x:c r="D22" s="11" t="n">
        <x:v>18000</x:v>
      </x:c>
      <x:c r="E22" s="1" t="str">
        <x:v>CAD</x:v>
      </x:c>
      <x:c r="F22" s="1" t="str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 t="str">
        <x:v>Pilot migration credit</x:v>
      </x:c>
      <x:c r="D23" s="11" t="n">
        <x:v>6000</x:v>
      </x:c>
      <x:c r="E23" s="1" t="str">
        <x:v>CAD</x:v>
      </x:c>
      <x:c r="F23" s="1" t="str"/>
      <x:c r="G23" s="1"/>
      <x:c r="H23" s="14" t="str">
        <x:v>Hardware allowance: 1,000 device, 350 install, 100 mount/accessories.</x:v>
      </x:c>
      <x:c r="I23" s="14"/>
      <x:c r="J23" s="14"/>
      <x:c r="K23" s="14"/>
      <x:c r="L23" s="14"/>
    </x:row>
    <x:row r="24" ht="23" customHeight="1">
      <x:c r="A24" s="1"/>
      <x:c r="B24" s="1"/>
      <x:c r="C24" s="1"/>
      <x:c r="D24" s="1"/>
      <x:c r="E24" s="1"/>
      <x:c r="F24" s="1"/>
      <x:c r="G24" s="1"/>
      <x:c r="H24" s="14"/>
      <x:c r="I24" s="14"/>
      <x:c r="J24" s="14"/>
      <x:c r="K24" s="14"/>
      <x:c r="L24" s="14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 t="str">
        <x:v>Accepted warranty cost avoided</x:v>
      </x:c>
      <x:c r="D26" s="12" t="n">
        <x:f>D8*D9*D10*D11</x:f>
        <x:v>20000</x:v>
      </x:c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 t="str">
        <x:v>Staff capacity value</x:v>
      </x:c>
      <x:c r="D27" s="12" t="n">
        <x:f>D12*D13</x:f>
        <x:v>36000</x:v>
      </x:c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 t="str">
        <x:v>Duplicate dispatch cost avoided</x:v>
      </x:c>
      <x:c r="D28" s="12" t="n">
        <x:f>D14*D15</x:f>
        <x:v>5000</x:v>
      </x:c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9" t="str">
        <x:v>Total potential annual value</x:v>
      </x:c>
      <x:c r="D29" s="10" t="n">
        <x:f>SUM(D26:D28)</x:f>
        <x:v>61000</x:v>
      </x:c>
      <x:c r="E29" s="9"/>
      <x:c r="F29" s="9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2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 t="str">
        <x:v>Annual recurring buyer cost</x:v>
      </x:c>
      <x:c r="D31" s="12" t="n">
        <x:f>D17*12+D18*D20*12</x:f>
        <x:v>31500</x:v>
      </x:c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 t="str">
        <x:v>Hardware and installation</x:v>
      </x:c>
      <x:c r="D32" s="12" t="n">
        <x:f>D18*D19</x:f>
        <x:v>7250</x:v>
      </x:c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 t="str">
        <x:v>Pilot and onboarding net of credit</x:v>
      </x:c>
      <x:c r="D33" s="12" t="n">
        <x:f>SUM(D21:D22)-D23</x:f>
        <x:v>17000</x:v>
      </x:c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9" t="str">
        <x:v>First-year cost</x:v>
      </x:c>
      <x:c r="D34" s="10" t="n">
        <x:f>SUM(D31:D33)</x:f>
        <x:v>55750</x:v>
      </x:c>
      <x:c r="E34" s="9"/>
      <x:c r="F34" s="9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2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9" t="str">
        <x:v>First-year net value including capacity</x:v>
      </x:c>
      <x:c r="D36" s="10" t="n">
        <x:f>D29-D34</x:f>
        <x:v>5250</x:v>
      </x:c>
      <x:c r="E36" s="9"/>
      <x:c r="F36" s="9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 t="str">
        <x:v>First-year ROI including capacity</x:v>
      </x:c>
      <x:c r="D37" s="18" t="n">
        <x:f>IF(D34=0,"n.a.",D36/D34)</x:f>
        <x:v>0.09417040358744394</x:v>
      </x:c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 t="str">
        <x:v>Recurring net value including capacity</x:v>
      </x:c>
      <x:c r="D38" s="12" t="n">
        <x:f>D29-D31</x:f>
        <x:v>29500</x:v>
      </x:c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9" t="str">
        <x:v>First-year cash-oriented net benefit</x:v>
      </x:c>
      <x:c r="D39" s="10" t="n">
        <x:f>D26+D28-D34</x:f>
        <x:v>-30750</x:v>
      </x:c>
      <x:c r="E39" s="9"/>
      <x:c r="F39" s="9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H8:L9"/>
    <x:mergeCell ref="H11:L12"/>
    <x:mergeCell ref="H14:L15"/>
    <x:mergeCell ref="H17:L18"/>
    <x:mergeCell ref="H20:L21"/>
    <x:mergeCell ref="H23:L24"/>
  </x:mergeCells>
  <x:pageMargins left="0.7" right="0.7" top="0.75" bottom="0.75" header="0.3" footer="0.3"/>
</x:worksheet>
</file>